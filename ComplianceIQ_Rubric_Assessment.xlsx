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" sheetId="2" state="visible" r:id="rId4"/>
    <sheet name="Action_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<sst xmlns="http://schemas.openxmlformats.org/spreadsheetml/2006/main" count="214" uniqueCount="170">
  <si>
    <t xml:space="preserve">ComplianceIQ — PwC Agentic AI Capstone Rubric Assessment</t>
  </si>
  <si>
    <t xml:space="preserve">Project: ComplianceIQ — AI-Driven Multi-Agent Regulatory Compliance System</t>
  </si>
  <si>
    <t xml:space="preserve">Metric</t>
  </si>
  <si>
    <t xml:space="preserve">Value</t>
  </si>
  <si>
    <t xml:space="preserve">Awarded</t>
  </si>
  <si>
    <t xml:space="preserve">Total Maximum Points (incl. bonus)</t>
  </si>
  <si>
    <t xml:space="preserve">Awarded Points (incl. bonus)</t>
  </si>
  <si>
    <t xml:space="preserve">Code &amp; Engineering (criteria 1-2)</t>
  </si>
  <si>
    <t xml:space="preserve">Document &amp; Data Pipeline (criteria 4-6)</t>
  </si>
  <si>
    <t xml:space="preserve">Agents &amp; Workflow (criteria 7-9)</t>
  </si>
  <si>
    <t xml:space="preserve">Operability &amp; Quality (criteria 3, 10-13)</t>
  </si>
  <si>
    <t xml:space="preserve">Bonus Enhancements (criterion 14)</t>
  </si>
  <si>
    <t xml:space="preserve">Total</t>
  </si>
  <si>
    <t xml:space="preserve">Rating bands</t>
  </si>
  <si>
    <t xml:space="preserve">Excellent (90-100%)</t>
  </si>
  <si>
    <t xml:space="preserve">Good (75-89%)</t>
  </si>
  <si>
    <t xml:space="preserve">Satisfactory (50-74%)</t>
  </si>
  <si>
    <t xml:space="preserve">Needs Improvement (&lt;50%)</t>
  </si>
  <si>
    <t xml:space="preserve">Strengths (where the project is Excellent)</t>
  </si>
  <si>
    <t xml:space="preserve">• Clean layered architecture with single-responsibility modules under src/complianceiq/.</t>
  </si>
  <si>
    <t xml:space="preserve">• Pydantic v2 schemas enforced at every agent and inter-stage boundary; zero copy-paste across components.</t>
  </si>
  <si>
    <t xml:space="preserve">• Full-lifecycle document processing with tunable chunking and silent-failure-free DOCX/PDF loaders.</t>
  </si>
  <si>
    <t xml:space="preserve">• ChromaDB cosine-similarity vector store with metadata-filtered search (doc_type + domain) and graceful any-domain fallback.</t>
  </si>
  <si>
    <t xml:space="preserve">• Deterministic, severity-weighted scoring in pure Python — auditor-defensible and reproducible at temperature=0.</t>
  </si>
  <si>
    <t xml:space="preserve">• End-to-end Langfuse tracing with run_id + agent_name span hierarchy; immutable audit_log.jsonl as a fail-open backup.</t>
  </si>
  <si>
    <t xml:space="preserve">• NetworkX knowledge graph + heatmap and per-domain visualizations — explicitly named in the rubric as a substantive bonus enhancement.</t>
  </si>
  <si>
    <t xml:space="preserve">• Resume-on-failure mechanism in Gap Detector preserves LLM spend across crashes.</t>
  </si>
  <si>
    <t xml:space="preserve">Top gaps to close to push toward perfect score</t>
  </si>
  <si>
    <t xml:space="preserve">• Add a FastAPI layer in front of Gradio (criterion 12: Deployment) — currently the dashboard is the only entry point.</t>
  </si>
  <si>
    <t xml:space="preserve">• Introduce model tiering (gpt-4o-mini → gpt-4o on high-severity ambiguous gaps) and an embedding/LLM cache (criterion 10: Cost-Latency).</t>
  </si>
  <si>
    <t xml:space="preserve">• Quantify per-agent confidence and propagate into routing / HITL gates (criteria 7 &amp; 9).</t>
  </si>
  <si>
    <t xml:space="preserve">• Add a golden-pair eval dataset under tests/eval/ to validate accuracy beyond spot-checks (criterion 11: Accuracy).</t>
  </si>
  <si>
    <t xml:space="preserve">• Parallelize Gap Detector with asyncio + token-budget semaphore — moves Multi-Agent Orchestration toward 'composed, not just sequenced' (criterion 8).</t>
  </si>
  <si>
    <t xml:space="preserve">• Add explicit exponential backoff wrapper (tenacity) around OpenAI calls and a fallback model on persistent 5xx (criterion 3: Error Handling).</t>
  </si>
  <si>
    <t xml:space="preserve">• Add file upload to the Gradio dashboard so reviewers can ingest a new policy without touching the CLI (criterion 13: UI).</t>
  </si>
  <si>
    <t xml:space="preserve">• Track custom quality scores (eval-style) in Langfuse so prompts can be A/B tested (criterion 10).</t>
  </si>
  <si>
    <t xml:space="preserve">Criterion</t>
  </si>
  <si>
    <t xml:space="preserve">Rubric requirement (Excellent definition)</t>
  </si>
  <si>
    <t xml:space="preserve">Max</t>
  </si>
  <si>
    <t xml:space="preserve">Score</t>
  </si>
  <si>
    <t xml:space="preserve">Awarded (calc)</t>
  </si>
  <si>
    <t xml:space="preserve">Level</t>
  </si>
  <si>
    <t xml:space="preserve">Bucket</t>
  </si>
  <si>
    <t xml:space="preserve">Evidence in code / repo</t>
  </si>
  <si>
    <t xml:space="preserve">Gaps vs 'Excellent'</t>
  </si>
  <si>
    <t xml:space="preserve">Recommendation to lift the score</t>
  </si>
  <si>
    <t xml:space="preserve">1. Code Readability &amp; Organization</t>
  </si>
  <si>
    <t xml:space="preserve">Single-responsibility functions, consistent naming, logical sequencing. Markdown docs sufficient for onboarding without walkthrough.</t>
  </si>
  <si>
    <t xml:space="preserve">Excellent</t>
  </si>
  <si>
    <t xml:space="preserve">Code</t>
  </si>
  <si>
    <t xml:space="preserve">Strict layered package src/complianceiq/{ingestion,vectorstore,agents,orchestration,graph,observability,reporting,dashboard}; small, focused modules; consistent snake_case; README, PRD, ADD all in repo.</t>
  </si>
  <si>
    <t xml:space="preserve">Minimal — README is comprehensive; ADD documents every module.</t>
  </si>
  <si>
    <t xml:space="preserve">Add a CONTRIBUTING.md and one architectural overview image inline in README for onboarding.</t>
  </si>
  <si>
    <t xml:space="preserve">2. Code Reusability &amp; Modularity</t>
  </si>
  <si>
    <t xml:space="preserve">Well-timed abstractions. Shared utilities (API wrappers, parsers, agent patterns) factored out. Zero copy-paste across components.</t>
  </si>
  <si>
    <t xml:space="preserve">agents/base.BaseAgent shared by all three agents (chain construction, callback wiring, run_id propagation); load_requirements + write_jsonl helpers; centralized Pydantic schemas in models.py; embedding wrapper reused by both Chroma collections.</t>
  </si>
  <si>
    <t xml:space="preserve">Minor — could extract a shared retry decorator.</t>
  </si>
  <si>
    <t xml:space="preserve">Add a small utils/retry.py wrapping tenacity and reuse across agents and ingestion.</t>
  </si>
  <si>
    <t xml:space="preserve">3. Error Handling &amp; Failure Recovery</t>
  </si>
  <si>
    <t xml:space="preserve">Closed-loop recovery: detect → diagnose → select strategy (backoff, fallback model, cache, degrade gracefully) → log outcome.</t>
  </si>
  <si>
    <t xml:space="preserve">Good</t>
  </si>
  <si>
    <t xml:space="preserve">Ops</t>
  </si>
  <si>
    <t xml:space="preserve">Gap Detector writes incrementally + 'will retry on resume' logic; loader try/except with .exception logging; fail-open Langfuse; empty-retrieval fallback to any-domain policy search in gap_detector.py.</t>
  </si>
  <si>
    <t xml:space="preserve">No explicit exponential-backoff wrapper (relies on OpenAI SDK defaults); no fallback to a different model on persistent failure; no diagnostic correlation_id beyond run_id.</t>
  </si>
  <si>
    <t xml:space="preserve">Wrap LLM calls in tenacity (retry + exponential backoff with jitter); add a model-tier fallback (gpt-4o-mini → gpt-4o) on persistent ValidationError; emit structured failure events to audit_log.</t>
  </si>
  <si>
    <t xml:space="preserve">4. Document Processing &amp; Text Extraction</t>
  </si>
  <si>
    <t xml:space="preserve">Full lifecycle: ingest, clean, chunk, tag metadata. Chunk size/overlap tuned. Handles malformed docs without silent failure.</t>
  </si>
  <si>
    <t xml:space="preserve">Data</t>
  </si>
  <si>
    <t xml:space="preserve">ingestion/{pdf_loader,docx_loader,chunker,domain_inference,extractor,pipeline}.py; CHUNK_SIZE=1000 / CHUNK_OVERLAP=200 / MIN_CHUNK_CHARS=60 (tunable via env); domain tagged on every chunk; logger.exception on parse failure (no silent failures).</t>
  </si>
  <si>
    <t xml:space="preserve">Could probe section-aware chunking (heading-based) for regulatory PDFs.</t>
  </si>
  <si>
    <t xml:space="preserve">Add a heading-aware chunker variant for IRDAI/MAS PDFs; surface per-document parse stats in audit_log.</t>
  </si>
  <si>
    <t xml:space="preserve">5. Named Entity Recognition &amp; Domain Extraction</t>
  </si>
  <si>
    <t xml:space="preserve">Domain-specific entities beyond generic NER. Typed, deduplicated, linked to source spans.</t>
  </si>
  <si>
    <t xml:space="preserve">Requirement, RegulationSummary, Gap models capture domain-typed fields (mandatory_action, evidence_needs, severity, regulation_text, source_file, location); CoverageQuality and Domain enums; deduplication via deterministic IDs.</t>
  </si>
  <si>
    <t xml:space="preserve">No explicit clause-id / cross-reference normalization (e.g., 'Reg 4(2)(a)' parsed into a structured ref).</t>
  </si>
  <si>
    <t xml:space="preserve">Add a ClauseRef extractor that parses regulation citations into a structured (article, sub-clause, page) tuple; deduplicate on this canonical form.</t>
  </si>
  <si>
    <t xml:space="preserve">6. Vector Store &amp; Retrieval Grounding</t>
  </si>
  <si>
    <t xml:space="preserve">Appropriate embedding model + similarity metric. Metadata-filtered search. Validated top-k relevance. LLM claims traceable to source chunks.</t>
  </si>
  <si>
    <t xml:space="preserve">OpenAI text-embedding-3-small; cosine via 'hnsw:space': 'cosine'; metadata-filtered where={doc_type, domain} in gap_detector.find_policy_matches; Gap prompt includes verbatim excerpts with source_file + location + distance — every LLM judgment is grounded.</t>
  </si>
  <si>
    <t xml:space="preserve">No explicit re-ranker (e.g., bge-reranker) on top-k results.</t>
  </si>
  <si>
    <t xml:space="preserve">Add an optional re-ranker stage between similarity_search and the prompt for higher precision.</t>
  </si>
  <si>
    <t xml:space="preserve">7. Agent Building &amp; Integration</t>
  </si>
  <si>
    <t xml:space="preserve">Clear mandate per agent, Pydantic contracts, decomposes complex queries. Tool selection intent-driven. Memory strategy. Confidence quantified and propagated.</t>
  </si>
  <si>
    <t xml:space="preserve">Agents</t>
  </si>
  <si>
    <t xml:space="preserve">Three single-responsibility agents (Regulation Monitor, Gap Detector, Policy Analyzer); Pydantic-validated structured output via with_structured_output(schema); agent-specific prompts in prompts.py; run_id propagation.</t>
  </si>
  <si>
    <t xml:space="preserve">No explicit confidence scoring on outputs; no adaptive sub-task decomposition (sequence is fixed); no memory layer (agents are stateless).</t>
  </si>
  <si>
    <t xml:space="preserve">Add 'confidence: float in [0,1]' to GapAssessment and CoverageAssessment schemas; propagate into the dashboard severity filter and into the Remediation prioritizer.</t>
  </si>
  <si>
    <t xml:space="preserve">8. Multi-Agent Orchestration</t>
  </si>
  <si>
    <t xml:space="preserve">Agents composed, not just sequenced. Coordination pattern (parallel, consensus, delegation) fits the problem. Conflicts reconciled. Per-agent token/cost attribution.</t>
  </si>
  <si>
    <t xml:space="preserve">ComplianceWorkflow runs the three agents in audit-tagged sequence; per-agent audit log entries with payload counts; Langfuse spans tagged with agent_name for cost attribution.</t>
  </si>
  <si>
    <t xml:space="preserve">Sequential only (no parallelism, no consensus, no delegation); no conflict-reconciliation strategy (e.g., when Gap Detector and Policy Analyzer disagree on a domain's coverage).</t>
  </si>
  <si>
    <t xml:space="preserve">Parallelize Gap Detector with asyncio over the requirement set (semaphore=8); add a Reconciler step that flags items where Policy Analyzer's domain summary contradicts the per-gap call.</t>
  </si>
  <si>
    <t xml:space="preserve">9. Workflow &amp; State Management</t>
  </si>
  <si>
    <t xml:space="preserve">Conditional routing on content/risk/confidence. Human-in-the-loop where stakes warrant. Fallback paths. State transitions explicit and auditable.</t>
  </si>
  <si>
    <t xml:space="preserve">Linear pipeline with explicit JSONL state at every stage; --skip-summaries / --domain / --limit conditional knobs; fallback retrieval on empty-results; audit_log.jsonl makes every transition auditable.</t>
  </si>
  <si>
    <t xml:space="preserve">No risk- or confidence-based routing; no HITL approval gate before remediation_plan publication; no degraded-operation path that runs without ChromaDB.</t>
  </si>
  <si>
    <t xml:space="preserve">Add a HITL gate that pauses orchestrate before write of remediation_plan.jsonl when overall_score drops below configurable threshold; add a 'no-vector-store' degraded mode that uses keyword search.</t>
  </si>
  <si>
    <t xml:space="preserve">10. Observability &amp; Cost-Latency Design</t>
  </si>
  <si>
    <t xml:space="preserve">End-to-end Langfuse traces with span hierarchy. Per-agent attribution. Custom quality scores. Cost-latency tradeoffs deliberate (model tiering, caching, batch with documented rationale).</t>
  </si>
  <si>
    <t xml:space="preserve">Langfuse CallbackHandler attached in BaseAgent; run_id + agent_name tags on every span; cost &amp; token captured by Langfuse; assessment_history.jsonl + history --compare for trend tracking.</t>
  </si>
  <si>
    <t xml:space="preserve">Single model everywhere (gpt-4o-mini); no eval-style quality scores tagged on traces; no explicit caching policy beyond ChromaDB embedding reuse; no batch API usage.</t>
  </si>
  <si>
    <t xml:space="preserve">Add model tiering (gpt-4o on high-severity uncertain gaps); attach Langfuse score() calls with the deterministic compliance_score; add an in-memory LRU cache around embed_query for repeated requirements.</t>
  </si>
  <si>
    <t xml:space="preserve">11. Accuracy &amp; Trustworthiness</t>
  </si>
  <si>
    <t xml:space="preserve">Zero hallucinated facts. Grounding enforced, schemas constrain generation, confidence gates low-certainty outputs. Eval dataset validates quality.</t>
  </si>
  <si>
    <t xml:space="preserve">Grounding always-on (Gap Detector prompt embeds retrieved excerpts); Pydantic schemas at the LLM boundary; deterministic Python scoring removes LLM judgment from the headline metric; temperature=0.</t>
  </si>
  <si>
    <t xml:space="preserve">No golden-pair benchmark; no confidence gates; no SME-validated regression suite.</t>
  </si>
  <si>
    <t xml:space="preserve">Build tests/eval/golden_gaps.jsonl with 20-50 SME-labelled (requirement, expected_coverage, expected_severity); add a pytest that asserts recall &gt;= 0.9 on the set; CI fails if a prompt change drops the metric.</t>
  </si>
  <si>
    <t xml:space="preserve">12. Deployment &amp; Scalability</t>
  </si>
  <si>
    <t xml:space="preserve">FastAPI endpoints tested. Config externalized. Batch + cache reduce redundant LLM calls. Handles realistic workloads.</t>
  </si>
  <si>
    <t xml:space="preserve">Satisfactory</t>
  </si>
  <si>
    <t xml:space="preserve">Config externalized via .env / config.py; Dockerfile and Fargate topology documented in ADD; ChromaDB caches embeddings across runs; --limit/--domain enable partial workloads; idempotent JSONL writes.</t>
  </si>
  <si>
    <t xml:space="preserve">No FastAPI layer (only Gradio + CLI); no LLM response cache; no batched embeddings beyond what the OpenAI SDK does internally.</t>
  </si>
  <si>
    <t xml:space="preserve">Add src/complianceiq/api/ with a FastAPI app exposing POST /assess, GET /score, GET /gaps, GET /report; add an in-process LLM cache keyed on (model, prompt_hash).</t>
  </si>
  <si>
    <t xml:space="preserve">13. UI &amp; Usability</t>
  </si>
  <si>
    <t xml:space="preserve">Gradio interface with file upload, tabbed results, embedded visualizations. Non-technical stakeholder can use without tutorial.</t>
  </si>
  <si>
    <t xml:space="preserve">Gradio Blocks UI with six tabs (Overview, Gaps, Coverage, Remediation, Search, Reports); embedded data tables, heatmap, per-domain bar chart; theme=Soft.</t>
  </si>
  <si>
    <t xml:space="preserve">No in-UI file upload (reviewers must pre-ingest via CLI); no inline help / first-run tutorial overlay.</t>
  </si>
  <si>
    <t xml:space="preserve">Add an 'Upload' tab with gr.File() that calls ingest_pipeline + index in the background and shows progress; add a one-paragraph 'How to read this dashboard' callout on each tab.</t>
  </si>
  <si>
    <t xml:space="preserve">14. Unique Enhancements / Additional Features (Bonus)</t>
  </si>
  <si>
    <t xml:space="preserve">Substantive feature beyond requirements: knowledge graphs, predictive analytics, custom eval, novel coordination, or domain innovation.</t>
  </si>
  <si>
    <t xml:space="preserve">Bonus</t>
  </si>
  <si>
    <t xml:space="preserve">NetworkX knowledge graph (regulation→requirement→policy) with GraphML/JSON persistence and visualizations (heatmap + per-domain coverage chart) — explicitly named in the rubric as a substantive enhancement; deterministic severity-weighted scoring; resume-on-failure pattern; assessment_history snapshotting; DOCX report generator; AuditLogger with WORM-friendly append-only JSONL.</t>
  </si>
  <si>
    <t xml:space="preserve">—</t>
  </si>
  <si>
    <t xml:space="preserve">Add a 'predictive' enhancement next: a small classifier (or rule-set) that flags which historical gaps usually recur after remediation.</t>
  </si>
  <si>
    <t xml:space="preserve">TOTAL</t>
  </si>
  <si>
    <t xml:space="preserve">PERCENTAGE</t>
  </si>
  <si>
    <t xml:space="preserve">Action Plan to Achieve a Perfect Score</t>
  </si>
  <si>
    <t xml:space="preserve">#</t>
  </si>
  <si>
    <t xml:space="preserve">Action</t>
  </si>
  <si>
    <t xml:space="preserve">Lifts criterion</t>
  </si>
  <si>
    <t xml:space="preserve">Effort</t>
  </si>
  <si>
    <t xml:space="preserve">Estimated point gain</t>
  </si>
  <si>
    <t xml:space="preserve">Owner</t>
  </si>
  <si>
    <t xml:space="preserve">Add a small FastAPI app exposing /assess /score /gaps /report; reuse the same workflow.</t>
  </si>
  <si>
    <t xml:space="preserve">12 Deployment &amp; Scalability</t>
  </si>
  <si>
    <t xml:space="preserve">M</t>
  </si>
  <si>
    <t xml:space="preserve">+1.5</t>
  </si>
  <si>
    <t xml:space="preserve">Backend Eng</t>
  </si>
  <si>
    <t xml:space="preserve">Wrap OpenAI calls in tenacity with exp-backoff; add gpt-4o fallback after N consecutive ValidationErrors.</t>
  </si>
  <si>
    <t xml:space="preserve">3 Error Handling</t>
  </si>
  <si>
    <t xml:space="preserve">S</t>
  </si>
  <si>
    <t xml:space="preserve">+1.0</t>
  </si>
  <si>
    <t xml:space="preserve">AI Eng</t>
  </si>
  <si>
    <t xml:space="preserve">Add 'confidence' float to GapAssessment / CoverageAssessment; propagate into Remediation prioritizer.</t>
  </si>
  <si>
    <t xml:space="preserve">7 Agent Building, 9 Workflow</t>
  </si>
  <si>
    <t xml:space="preserve">Build tests/eval/golden_gaps.jsonl with 20-50 SME-labelled cases; CI assertion on recall &gt;= 0.9.</t>
  </si>
  <si>
    <t xml:space="preserve">11 Accuracy &amp; Trustworthiness</t>
  </si>
  <si>
    <t xml:space="preserve">+2.0</t>
  </si>
  <si>
    <t xml:space="preserve">AI Eng + SME</t>
  </si>
  <si>
    <t xml:space="preserve">Parallelize Gap Detector with asyncio + semaphore=8; add per-batch cost log.</t>
  </si>
  <si>
    <t xml:space="preserve">8 Multi-Agent Orchestration</t>
  </si>
  <si>
    <t xml:space="preserve">Implement model tiering — gpt-4o on high-severity ambiguous cases; document rationale in ADR.</t>
  </si>
  <si>
    <t xml:space="preserve">10 Observability &amp; Cost-Latency</t>
  </si>
  <si>
    <t xml:space="preserve">AI Architect</t>
  </si>
  <si>
    <t xml:space="preserve">Add LRU cache around embed_query and a prompt-hash LLM cache to skip duplicate calls.</t>
  </si>
  <si>
    <t xml:space="preserve">10 Cost-Latency, 12 Deployment</t>
  </si>
  <si>
    <t xml:space="preserve">Add HITL gate before remediation_plan write when overall_score drops below configurable threshold.</t>
  </si>
  <si>
    <t xml:space="preserve">9 Workflow &amp; State Management</t>
  </si>
  <si>
    <t xml:space="preserve">AI Eng + Ops</t>
  </si>
  <si>
    <t xml:space="preserve">Add Gradio Upload tab with gr.File() for live policy ingestion + progress indicator.</t>
  </si>
  <si>
    <t xml:space="preserve">13 UI &amp; Usability</t>
  </si>
  <si>
    <t xml:space="preserve">+0.5</t>
  </si>
  <si>
    <t xml:space="preserve">Tag Langfuse traces with score() calls referencing the deterministic compliance_score per run.</t>
  </si>
  <si>
    <t xml:space="preserve">10 Observability</t>
  </si>
  <si>
    <t xml:space="preserve">MLOps</t>
  </si>
  <si>
    <t xml:space="preserve">Add structured ClauseRef extractor (article + sub-clause + page) for regulation citations.</t>
  </si>
  <si>
    <t xml:space="preserve">5 NER / Domain Extraction</t>
  </si>
  <si>
    <t xml:space="preserve">Add an LLM-based re-ranker (or bge-reranker) on top-k retrieval before prompting.</t>
  </si>
  <si>
    <t xml:space="preserve">6 Vector Store &amp; Retrieval</t>
  </si>
  <si>
    <t xml:space="preserve">+0.0 (already 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</si>
</sst>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6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A68"/>
      <name val="Arial"/>
      <family val="0"/>
      <charset val="1"/>
    </font>
    <font>
      <b val="true"/>
      <sz val="12"/>
      <color rgb="FF3E8E5B"/>
      <name val="Arial"/>
      <family val="0"/>
      <charset val="1"/>
    </font>
    <font>
      <b val="true"/>
      <sz val="12"/>
      <color rgb="FFC8932F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C8932F"/>
      <rgbColor rgb="FFFF6600"/>
      <rgbColor rgb="FF555555"/>
      <rgbColor rgb="FF969696"/>
      <rgbColor rgb="FF1F3A68"/>
      <rgbColor rgb="FF3E8E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</row>
    <row r="5" customFormat="false" ht="15" hidden="false" customHeight="false" outlineLevel="0" collapsed="false">
      <c r="A5" s="4" t="s">
        <v>5</v>
      </c>
      <c r="B5" s="5" t="n">
        <f aca="false">B12</f>
        <v>125</v>
      </c>
    </row>
    <row r="6" customFormat="false" ht="15" hidden="false" customHeight="false" outlineLevel="0" collapsed="false">
      <c r="A6" s="4" t="s">
        <v>6</v>
      </c>
      <c r="B6" s="5" t="n">
        <f aca="false">C12</f>
        <v>108.5</v>
      </c>
    </row>
    <row r="7" customFormat="false" ht="15" hidden="false" customHeight="false" outlineLevel="0" collapsed="false">
      <c r="A7" s="6" t="s">
        <v>7</v>
      </c>
      <c r="B7" s="5" t="n">
        <f aca="false">SUMIFS(Detail!E:E,Detail!H:H,"Code")</f>
        <v>20</v>
      </c>
      <c r="C7" s="7" t="n">
        <f aca="false">SUMIFS(Detail!F:F,Detail!H:H,"Code")</f>
        <v>20</v>
      </c>
    </row>
    <row r="8" customFormat="false" ht="15" hidden="false" customHeight="false" outlineLevel="0" collapsed="false">
      <c r="A8" s="6" t="s">
        <v>8</v>
      </c>
      <c r="B8" s="5" t="n">
        <f aca="false">SUMIFS(Detail!E:E,Detail!H:H,"Data")</f>
        <v>30</v>
      </c>
      <c r="C8" s="7" t="n">
        <f aca="false">SUMIFS(Detail!F:F,Detail!H:H,"Data")</f>
        <v>29</v>
      </c>
    </row>
    <row r="9" customFormat="false" ht="15" hidden="false" customHeight="false" outlineLevel="0" collapsed="false">
      <c r="A9" s="6" t="s">
        <v>9</v>
      </c>
      <c r="B9" s="7" t="n">
        <f aca="false">SUMIFS(Detail!E:E,Detail!H:H,"Agents")</f>
        <v>30</v>
      </c>
      <c r="C9" s="7" t="n">
        <f aca="false">SUMIFS(Detail!F:F,Detail!H:H,"Agents")</f>
        <v>23</v>
      </c>
    </row>
    <row r="10" customFormat="false" ht="15" hidden="false" customHeight="false" outlineLevel="0" collapsed="false">
      <c r="A10" s="6" t="s">
        <v>10</v>
      </c>
      <c r="B10" s="7" t="n">
        <f aca="false">SUMIFS(Detail!E:E,Detail!H:H,"Ops")</f>
        <v>40</v>
      </c>
      <c r="C10" s="7" t="n">
        <f aca="false">SUMIFS(Detail!F:F,Detail!H:H,"Ops")</f>
        <v>31.5</v>
      </c>
    </row>
    <row r="11" customFormat="false" ht="15" hidden="false" customHeight="false" outlineLevel="0" collapsed="false">
      <c r="A11" s="6" t="s">
        <v>11</v>
      </c>
      <c r="B11" s="7" t="n">
        <f aca="false">SUMIFS(Detail!E:E,Detail!H:H,"Bonus")</f>
        <v>5</v>
      </c>
      <c r="C11" s="7" t="n">
        <f aca="false">SUMIFS(Detail!F:F,Detail!H:H,"Bonus")</f>
        <v>5</v>
      </c>
    </row>
    <row r="12" customFormat="false" ht="15" hidden="false" customHeight="false" outlineLevel="0" collapsed="false">
      <c r="A12" s="8" t="s">
        <v>12</v>
      </c>
      <c r="B12" s="9" t="n">
        <f aca="false">SUM(B7:B11)</f>
        <v>125</v>
      </c>
      <c r="C12" s="9" t="n">
        <f aca="false">SUM(C7:C11)</f>
        <v>108.5</v>
      </c>
    </row>
    <row r="14" customFormat="false" ht="15" hidden="false" customHeight="false" outlineLevel="0" collapsed="false">
      <c r="A14" s="10" t="s">
        <v>13</v>
      </c>
    </row>
    <row r="15" customFormat="false" ht="15" hidden="false" customHeight="false" outlineLevel="0" collapsed="false">
      <c r="A15" s="11" t="s">
        <v>14</v>
      </c>
    </row>
    <row r="16" customFormat="false" ht="15" hidden="false" customHeight="false" outlineLevel="0" collapsed="false">
      <c r="A16" s="12" t="s">
        <v>15</v>
      </c>
    </row>
    <row r="17" customFormat="false" ht="15" hidden="false" customHeight="false" outlineLevel="0" collapsed="false">
      <c r="A17" s="13" t="s">
        <v>16</v>
      </c>
    </row>
    <row r="18" customFormat="false" ht="15" hidden="false" customHeight="false" outlineLevel="0" collapsed="false">
      <c r="A18" s="14" t="s">
        <v>17</v>
      </c>
    </row>
    <row r="21" customFormat="false" ht="15" hidden="false" customHeight="false" outlineLevel="0" collapsed="false">
      <c r="A21" s="15" t="s">
        <v>18</v>
      </c>
    </row>
    <row r="22" customFormat="false" ht="30" hidden="false" customHeight="true" outlineLevel="0" collapsed="false">
      <c r="A22" s="16" t="s">
        <v>19</v>
      </c>
    </row>
    <row r="23" customFormat="false" ht="30" hidden="false" customHeight="true" outlineLevel="0" collapsed="false">
      <c r="A23" s="16" t="s">
        <v>20</v>
      </c>
    </row>
    <row r="24" customFormat="false" ht="30" hidden="false" customHeight="true" outlineLevel="0" collapsed="false">
      <c r="A24" s="16" t="s">
        <v>21</v>
      </c>
    </row>
    <row r="25" customFormat="false" ht="30" hidden="false" customHeight="true" outlineLevel="0" collapsed="false">
      <c r="A25" s="16" t="s">
        <v>22</v>
      </c>
    </row>
    <row r="26" customFormat="false" ht="30" hidden="false" customHeight="true" outlineLevel="0" collapsed="false">
      <c r="A26" s="16" t="s">
        <v>23</v>
      </c>
    </row>
    <row r="27" customFormat="false" ht="30" hidden="false" customHeight="true" outlineLevel="0" collapsed="false">
      <c r="A27" s="16" t="s">
        <v>24</v>
      </c>
    </row>
    <row r="28" customFormat="false" ht="30" hidden="false" customHeight="true" outlineLevel="0" collapsed="false">
      <c r="A28" s="16" t="s">
        <v>25</v>
      </c>
    </row>
    <row r="29" customFormat="false" ht="30" hidden="false" customHeight="true" outlineLevel="0" collapsed="false">
      <c r="A29" s="16" t="s">
        <v>26</v>
      </c>
    </row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>
      <c r="A32" s="17" t="s">
        <v>27</v>
      </c>
    </row>
    <row r="33" customFormat="false" ht="30" hidden="false" customHeight="true" outlineLevel="0" collapsed="false">
      <c r="A33" s="16" t="s">
        <v>28</v>
      </c>
    </row>
    <row r="34" customFormat="false" ht="30" hidden="false" customHeight="true" outlineLevel="0" collapsed="false">
      <c r="A34" s="16" t="s">
        <v>29</v>
      </c>
    </row>
    <row r="35" customFormat="false" ht="30" hidden="false" customHeight="true" outlineLevel="0" collapsed="false">
      <c r="A35" s="16" t="s">
        <v>30</v>
      </c>
    </row>
    <row r="36" customFormat="false" ht="30" hidden="false" customHeight="true" outlineLevel="0" collapsed="false">
      <c r="A36" s="16" t="s">
        <v>31</v>
      </c>
    </row>
    <row r="37" customFormat="false" ht="30" hidden="false" customHeight="true" outlineLevel="0" collapsed="false">
      <c r="A37" s="16" t="s">
        <v>32</v>
      </c>
    </row>
    <row r="38" customFormat="false" ht="30" hidden="false" customHeight="true" outlineLevel="0" collapsed="false">
      <c r="A38" s="16" t="s">
        <v>33</v>
      </c>
    </row>
    <row r="39" customFormat="false" ht="30" hidden="false" customHeight="true" outlineLevel="0" collapsed="false">
      <c r="A39" s="16" t="s">
        <v>34</v>
      </c>
    </row>
    <row r="40" customFormat="false" ht="30" hidden="false" customHeight="true" outlineLevel="0" collapsed="false">
      <c r="A40" s="16" t="s">
        <v>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1" min="10" style="0" width="50"/>
  </cols>
  <sheetData>
    <row r="1" customFormat="false" ht="36" hidden="false" customHeight="true" outlineLevel="0" collapsed="false">
      <c r="A1" s="3" t="s">
        <v>36</v>
      </c>
      <c r="B1" s="3" t="s">
        <v>37</v>
      </c>
      <c r="C1" s="3" t="s">
        <v>38</v>
      </c>
      <c r="D1" s="3" t="s">
        <v>4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customFormat="false" ht="109.5" hidden="false" customHeight="true" outlineLevel="0" collapsed="false">
      <c r="A2" s="18" t="s">
        <v>46</v>
      </c>
      <c r="B2" s="18" t="s">
        <v>47</v>
      </c>
      <c r="C2" s="19" t="n">
        <v>10</v>
      </c>
      <c r="D2" s="19" t="n">
        <v>10</v>
      </c>
      <c r="E2" s="19" t="n">
        <f aca="false">C2</f>
        <v>10</v>
      </c>
      <c r="F2" s="19" t="n">
        <f aca="false">D2</f>
        <v>10</v>
      </c>
      <c r="G2" s="20" t="s">
        <v>48</v>
      </c>
      <c r="H2" s="21" t="s">
        <v>49</v>
      </c>
      <c r="I2" s="18" t="s">
        <v>50</v>
      </c>
      <c r="J2" s="18" t="s">
        <v>51</v>
      </c>
      <c r="K2" s="18" t="s">
        <v>52</v>
      </c>
    </row>
    <row r="3" customFormat="false" ht="109.5" hidden="false" customHeight="true" outlineLevel="0" collapsed="false">
      <c r="A3" s="18" t="s">
        <v>53</v>
      </c>
      <c r="B3" s="18" t="s">
        <v>54</v>
      </c>
      <c r="C3" s="19" t="n">
        <v>10</v>
      </c>
      <c r="D3" s="19" t="n">
        <v>10</v>
      </c>
      <c r="E3" s="19" t="n">
        <f aca="false">C3</f>
        <v>10</v>
      </c>
      <c r="F3" s="19" t="n">
        <f aca="false">D3</f>
        <v>10</v>
      </c>
      <c r="G3" s="20" t="s">
        <v>48</v>
      </c>
      <c r="H3" s="21" t="s">
        <v>49</v>
      </c>
      <c r="I3" s="18" t="s">
        <v>55</v>
      </c>
      <c r="J3" s="18" t="s">
        <v>56</v>
      </c>
      <c r="K3" s="18" t="s">
        <v>57</v>
      </c>
    </row>
    <row r="4" customFormat="false" ht="109.5" hidden="false" customHeight="true" outlineLevel="0" collapsed="false">
      <c r="A4" s="18" t="s">
        <v>58</v>
      </c>
      <c r="B4" s="18" t="s">
        <v>59</v>
      </c>
      <c r="C4" s="19" t="n">
        <v>10</v>
      </c>
      <c r="D4" s="19" t="n">
        <v>8.5</v>
      </c>
      <c r="E4" s="19" t="n">
        <f aca="false">C4</f>
        <v>10</v>
      </c>
      <c r="F4" s="19" t="n">
        <f aca="false">D4</f>
        <v>8.5</v>
      </c>
      <c r="G4" s="22" t="s">
        <v>60</v>
      </c>
      <c r="H4" s="21" t="s">
        <v>61</v>
      </c>
      <c r="I4" s="18" t="s">
        <v>62</v>
      </c>
      <c r="J4" s="18" t="s">
        <v>63</v>
      </c>
      <c r="K4" s="18" t="s">
        <v>64</v>
      </c>
    </row>
    <row r="5" customFormat="false" ht="109.5" hidden="false" customHeight="true" outlineLevel="0" collapsed="false">
      <c r="A5" s="18" t="s">
        <v>65</v>
      </c>
      <c r="B5" s="18" t="s">
        <v>66</v>
      </c>
      <c r="C5" s="19" t="n">
        <v>10</v>
      </c>
      <c r="D5" s="19" t="n">
        <v>10</v>
      </c>
      <c r="E5" s="19" t="n">
        <f aca="false">C5</f>
        <v>10</v>
      </c>
      <c r="F5" s="19" t="n">
        <f aca="false">D5</f>
        <v>10</v>
      </c>
      <c r="G5" s="20" t="s">
        <v>48</v>
      </c>
      <c r="H5" s="21" t="s">
        <v>67</v>
      </c>
      <c r="I5" s="18" t="s">
        <v>68</v>
      </c>
      <c r="J5" s="18" t="s">
        <v>69</v>
      </c>
      <c r="K5" s="18" t="s">
        <v>70</v>
      </c>
    </row>
    <row r="6" customFormat="false" ht="109.5" hidden="false" customHeight="true" outlineLevel="0" collapsed="false">
      <c r="A6" s="18" t="s">
        <v>71</v>
      </c>
      <c r="B6" s="18" t="s">
        <v>72</v>
      </c>
      <c r="C6" s="19" t="n">
        <v>10</v>
      </c>
      <c r="D6" s="19" t="n">
        <v>9</v>
      </c>
      <c r="E6" s="19" t="n">
        <f aca="false">C6</f>
        <v>10</v>
      </c>
      <c r="F6" s="19" t="n">
        <f aca="false">D6</f>
        <v>9</v>
      </c>
      <c r="G6" s="20" t="s">
        <v>48</v>
      </c>
      <c r="H6" s="21" t="s">
        <v>67</v>
      </c>
      <c r="I6" s="18" t="s">
        <v>73</v>
      </c>
      <c r="J6" s="18" t="s">
        <v>74</v>
      </c>
      <c r="K6" s="18" t="s">
        <v>75</v>
      </c>
    </row>
    <row r="7" customFormat="false" ht="109.5" hidden="false" customHeight="true" outlineLevel="0" collapsed="false">
      <c r="A7" s="18" t="s">
        <v>76</v>
      </c>
      <c r="B7" s="18" t="s">
        <v>77</v>
      </c>
      <c r="C7" s="19" t="n">
        <v>10</v>
      </c>
      <c r="D7" s="19" t="n">
        <v>10</v>
      </c>
      <c r="E7" s="19" t="n">
        <f aca="false">C7</f>
        <v>10</v>
      </c>
      <c r="F7" s="19" t="n">
        <f aca="false">D7</f>
        <v>10</v>
      </c>
      <c r="G7" s="20" t="s">
        <v>48</v>
      </c>
      <c r="H7" s="21" t="s">
        <v>67</v>
      </c>
      <c r="I7" s="18" t="s">
        <v>78</v>
      </c>
      <c r="J7" s="18" t="s">
        <v>79</v>
      </c>
      <c r="K7" s="18" t="s">
        <v>80</v>
      </c>
    </row>
    <row r="8" customFormat="false" ht="109.5" hidden="false" customHeight="true" outlineLevel="0" collapsed="false">
      <c r="A8" s="18" t="s">
        <v>81</v>
      </c>
      <c r="B8" s="18" t="s">
        <v>82</v>
      </c>
      <c r="C8" s="19" t="n">
        <v>10</v>
      </c>
      <c r="D8" s="19" t="n">
        <v>8</v>
      </c>
      <c r="E8" s="19" t="n">
        <f aca="false">C8</f>
        <v>10</v>
      </c>
      <c r="F8" s="19" t="n">
        <f aca="false">D8</f>
        <v>8</v>
      </c>
      <c r="G8" s="22" t="s">
        <v>60</v>
      </c>
      <c r="H8" s="21" t="s">
        <v>83</v>
      </c>
      <c r="I8" s="18" t="s">
        <v>84</v>
      </c>
      <c r="J8" s="18" t="s">
        <v>85</v>
      </c>
      <c r="K8" s="18" t="s">
        <v>86</v>
      </c>
    </row>
    <row r="9" customFormat="false" ht="109.5" hidden="false" customHeight="true" outlineLevel="0" collapsed="false">
      <c r="A9" s="18" t="s">
        <v>87</v>
      </c>
      <c r="B9" s="18" t="s">
        <v>88</v>
      </c>
      <c r="C9" s="19" t="n">
        <v>10</v>
      </c>
      <c r="D9" s="19" t="n">
        <v>7.5</v>
      </c>
      <c r="E9" s="19" t="n">
        <f aca="false">C9</f>
        <v>10</v>
      </c>
      <c r="F9" s="19" t="n">
        <f aca="false">D9</f>
        <v>7.5</v>
      </c>
      <c r="G9" s="22" t="s">
        <v>60</v>
      </c>
      <c r="H9" s="21" t="s">
        <v>83</v>
      </c>
      <c r="I9" s="18" t="s">
        <v>89</v>
      </c>
      <c r="J9" s="18" t="s">
        <v>90</v>
      </c>
      <c r="K9" s="18" t="s">
        <v>91</v>
      </c>
    </row>
    <row r="10" customFormat="false" ht="109.5" hidden="false" customHeight="true" outlineLevel="0" collapsed="false">
      <c r="A10" s="18" t="s">
        <v>92</v>
      </c>
      <c r="B10" s="18" t="s">
        <v>93</v>
      </c>
      <c r="C10" s="19" t="n">
        <v>10</v>
      </c>
      <c r="D10" s="19" t="n">
        <v>7.5</v>
      </c>
      <c r="E10" s="19" t="n">
        <f aca="false">C10</f>
        <v>10</v>
      </c>
      <c r="F10" s="19" t="n">
        <f aca="false">D10</f>
        <v>7.5</v>
      </c>
      <c r="G10" s="22" t="s">
        <v>60</v>
      </c>
      <c r="H10" s="21" t="s">
        <v>83</v>
      </c>
      <c r="I10" s="18" t="s">
        <v>94</v>
      </c>
      <c r="J10" s="18" t="s">
        <v>95</v>
      </c>
      <c r="K10" s="18" t="s">
        <v>96</v>
      </c>
    </row>
    <row r="11" customFormat="false" ht="109.5" hidden="false" customHeight="true" outlineLevel="0" collapsed="false">
      <c r="A11" s="18" t="s">
        <v>97</v>
      </c>
      <c r="B11" s="18" t="s">
        <v>98</v>
      </c>
      <c r="C11" s="19" t="n">
        <v>10</v>
      </c>
      <c r="D11" s="19" t="n">
        <v>8</v>
      </c>
      <c r="E11" s="19" t="n">
        <f aca="false">C11</f>
        <v>10</v>
      </c>
      <c r="F11" s="19" t="n">
        <f aca="false">D11</f>
        <v>8</v>
      </c>
      <c r="G11" s="22" t="s">
        <v>60</v>
      </c>
      <c r="H11" s="21" t="s">
        <v>61</v>
      </c>
      <c r="I11" s="18" t="s">
        <v>99</v>
      </c>
      <c r="J11" s="18" t="s">
        <v>100</v>
      </c>
      <c r="K11" s="18" t="s">
        <v>101</v>
      </c>
    </row>
    <row r="12" customFormat="false" ht="109.5" hidden="false" customHeight="true" outlineLevel="0" collapsed="false">
      <c r="A12" s="18" t="s">
        <v>102</v>
      </c>
      <c r="B12" s="18" t="s">
        <v>103</v>
      </c>
      <c r="C12" s="19" t="n">
        <v>10</v>
      </c>
      <c r="D12" s="19" t="n">
        <v>7.5</v>
      </c>
      <c r="E12" s="19" t="n">
        <f aca="false">C12</f>
        <v>10</v>
      </c>
      <c r="F12" s="19" t="n">
        <f aca="false">D12</f>
        <v>7.5</v>
      </c>
      <c r="G12" s="22" t="s">
        <v>60</v>
      </c>
      <c r="H12" s="21" t="s">
        <v>61</v>
      </c>
      <c r="I12" s="18" t="s">
        <v>104</v>
      </c>
      <c r="J12" s="18" t="s">
        <v>105</v>
      </c>
      <c r="K12" s="18" t="s">
        <v>106</v>
      </c>
    </row>
    <row r="13" customFormat="false" ht="109.5" hidden="false" customHeight="true" outlineLevel="0" collapsed="false">
      <c r="A13" s="18" t="s">
        <v>107</v>
      </c>
      <c r="B13" s="18" t="s">
        <v>108</v>
      </c>
      <c r="C13" s="19" t="n">
        <v>5</v>
      </c>
      <c r="D13" s="19" t="n">
        <v>3.5</v>
      </c>
      <c r="E13" s="19" t="n">
        <f aca="false">C13</f>
        <v>5</v>
      </c>
      <c r="F13" s="19" t="n">
        <f aca="false">D13</f>
        <v>3.5</v>
      </c>
      <c r="G13" s="23" t="s">
        <v>109</v>
      </c>
      <c r="H13" s="21" t="s">
        <v>61</v>
      </c>
      <c r="I13" s="18" t="s">
        <v>110</v>
      </c>
      <c r="J13" s="18" t="s">
        <v>111</v>
      </c>
      <c r="K13" s="18" t="s">
        <v>112</v>
      </c>
    </row>
    <row r="14" customFormat="false" ht="109.5" hidden="false" customHeight="true" outlineLevel="0" collapsed="false">
      <c r="A14" s="18" t="s">
        <v>113</v>
      </c>
      <c r="B14" s="18" t="s">
        <v>114</v>
      </c>
      <c r="C14" s="19" t="n">
        <v>5</v>
      </c>
      <c r="D14" s="19" t="n">
        <v>4</v>
      </c>
      <c r="E14" s="19" t="n">
        <f aca="false">C14</f>
        <v>5</v>
      </c>
      <c r="F14" s="19" t="n">
        <f aca="false">D14</f>
        <v>4</v>
      </c>
      <c r="G14" s="22" t="s">
        <v>60</v>
      </c>
      <c r="H14" s="21" t="s">
        <v>61</v>
      </c>
      <c r="I14" s="18" t="s">
        <v>115</v>
      </c>
      <c r="J14" s="18" t="s">
        <v>116</v>
      </c>
      <c r="K14" s="18" t="s">
        <v>117</v>
      </c>
    </row>
    <row r="15" customFormat="false" ht="109.5" hidden="false" customHeight="true" outlineLevel="0" collapsed="false">
      <c r="A15" s="18" t="s">
        <v>118</v>
      </c>
      <c r="B15" s="18" t="s">
        <v>119</v>
      </c>
      <c r="C15" s="19" t="n">
        <v>5</v>
      </c>
      <c r="D15" s="19" t="n">
        <v>5</v>
      </c>
      <c r="E15" s="19" t="n">
        <f aca="false">C15</f>
        <v>5</v>
      </c>
      <c r="F15" s="19" t="n">
        <f aca="false">D15</f>
        <v>5</v>
      </c>
      <c r="G15" s="20" t="s">
        <v>48</v>
      </c>
      <c r="H15" s="21" t="s">
        <v>120</v>
      </c>
      <c r="I15" s="18" t="s">
        <v>121</v>
      </c>
      <c r="J15" s="18" t="s">
        <v>122</v>
      </c>
      <c r="K15" s="18" t="s">
        <v>123</v>
      </c>
    </row>
    <row r="16" customFormat="false" ht="15" hidden="false" customHeight="false" outlineLevel="0" collapsed="false">
      <c r="A16" s="24" t="s">
        <v>124</v>
      </c>
      <c r="C16" s="25" t="n">
        <f aca="false">SUM(C2:C15)</f>
        <v>125</v>
      </c>
      <c r="D16" s="25" t="n">
        <f aca="false">SUM(D2:D15)</f>
        <v>108.5</v>
      </c>
      <c r="E16" s="25" t="n">
        <f aca="false">SUM(E2:E15)</f>
        <v>125</v>
      </c>
      <c r="F16" s="25" t="n">
        <f aca="false">SUM(F2:F15)</f>
        <v>108.5</v>
      </c>
    </row>
    <row r="17" customFormat="false" ht="15" hidden="false" customHeight="false" outlineLevel="0" collapsed="false">
      <c r="A17" s="24" t="s">
        <v>125</v>
      </c>
      <c r="D17" s="26" t="n">
        <f aca="false">D16/C16</f>
        <v>0.868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18"/>
  </cols>
  <sheetData>
    <row r="1" customFormat="false" ht="27.75" hidden="false" customHeight="true" outlineLevel="0" collapsed="false">
      <c r="A1" s="1" t="s">
        <v>126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</row>
    <row r="4" customFormat="false" ht="37.5" hidden="false" customHeight="true" outlineLevel="0" collapsed="false">
      <c r="A4" s="21" t="n">
        <v>1</v>
      </c>
      <c r="B4" s="18" t="s">
        <v>133</v>
      </c>
      <c r="C4" s="18" t="s">
        <v>134</v>
      </c>
      <c r="D4" s="21" t="s">
        <v>135</v>
      </c>
      <c r="E4" s="21" t="s">
        <v>136</v>
      </c>
      <c r="F4" s="21" t="s">
        <v>137</v>
      </c>
    </row>
    <row r="5" customFormat="false" ht="37.5" hidden="false" customHeight="true" outlineLevel="0" collapsed="false">
      <c r="A5" s="21" t="n">
        <v>2</v>
      </c>
      <c r="B5" s="18" t="s">
        <v>138</v>
      </c>
      <c r="C5" s="18" t="s">
        <v>139</v>
      </c>
      <c r="D5" s="21" t="s">
        <v>140</v>
      </c>
      <c r="E5" s="21" t="s">
        <v>141</v>
      </c>
      <c r="F5" s="21" t="s">
        <v>142</v>
      </c>
    </row>
    <row r="6" customFormat="false" ht="37.5" hidden="false" customHeight="true" outlineLevel="0" collapsed="false">
      <c r="A6" s="21" t="n">
        <v>3</v>
      </c>
      <c r="B6" s="18" t="s">
        <v>143</v>
      </c>
      <c r="C6" s="18" t="s">
        <v>144</v>
      </c>
      <c r="D6" s="21" t="s">
        <v>140</v>
      </c>
      <c r="E6" s="21" t="s">
        <v>136</v>
      </c>
      <c r="F6" s="21" t="s">
        <v>142</v>
      </c>
    </row>
    <row r="7" customFormat="false" ht="37.5" hidden="false" customHeight="true" outlineLevel="0" collapsed="false">
      <c r="A7" s="21" t="n">
        <v>4</v>
      </c>
      <c r="B7" s="18" t="s">
        <v>145</v>
      </c>
      <c r="C7" s="18" t="s">
        <v>146</v>
      </c>
      <c r="D7" s="21" t="s">
        <v>135</v>
      </c>
      <c r="E7" s="21" t="s">
        <v>147</v>
      </c>
      <c r="F7" s="21" t="s">
        <v>148</v>
      </c>
    </row>
    <row r="8" customFormat="false" ht="37.5" hidden="false" customHeight="true" outlineLevel="0" collapsed="false">
      <c r="A8" s="21" t="n">
        <v>5</v>
      </c>
      <c r="B8" s="18" t="s">
        <v>149</v>
      </c>
      <c r="C8" s="18" t="s">
        <v>150</v>
      </c>
      <c r="D8" s="21" t="s">
        <v>135</v>
      </c>
      <c r="E8" s="21" t="s">
        <v>136</v>
      </c>
      <c r="F8" s="21" t="s">
        <v>142</v>
      </c>
    </row>
    <row r="9" customFormat="false" ht="37.5" hidden="false" customHeight="true" outlineLevel="0" collapsed="false">
      <c r="A9" s="21" t="n">
        <v>6</v>
      </c>
      <c r="B9" s="18" t="s">
        <v>151</v>
      </c>
      <c r="C9" s="18" t="s">
        <v>152</v>
      </c>
      <c r="D9" s="21" t="s">
        <v>135</v>
      </c>
      <c r="E9" s="21" t="s">
        <v>141</v>
      </c>
      <c r="F9" s="21" t="s">
        <v>153</v>
      </c>
    </row>
    <row r="10" customFormat="false" ht="37.5" hidden="false" customHeight="true" outlineLevel="0" collapsed="false">
      <c r="A10" s="21" t="n">
        <v>7</v>
      </c>
      <c r="B10" s="18" t="s">
        <v>154</v>
      </c>
      <c r="C10" s="18" t="s">
        <v>155</v>
      </c>
      <c r="D10" s="21" t="s">
        <v>140</v>
      </c>
      <c r="E10" s="21" t="s">
        <v>141</v>
      </c>
      <c r="F10" s="21" t="s">
        <v>142</v>
      </c>
    </row>
    <row r="11" customFormat="false" ht="37.5" hidden="false" customHeight="true" outlineLevel="0" collapsed="false">
      <c r="A11" s="21" t="n">
        <v>8</v>
      </c>
      <c r="B11" s="18" t="s">
        <v>156</v>
      </c>
      <c r="C11" s="18" t="s">
        <v>157</v>
      </c>
      <c r="D11" s="21" t="s">
        <v>140</v>
      </c>
      <c r="E11" s="21" t="s">
        <v>141</v>
      </c>
      <c r="F11" s="21" t="s">
        <v>158</v>
      </c>
    </row>
    <row r="12" customFormat="false" ht="37.5" hidden="false" customHeight="true" outlineLevel="0" collapsed="false">
      <c r="A12" s="21" t="n">
        <v>9</v>
      </c>
      <c r="B12" s="18" t="s">
        <v>159</v>
      </c>
      <c r="C12" s="18" t="s">
        <v>160</v>
      </c>
      <c r="D12" s="21" t="s">
        <v>140</v>
      </c>
      <c r="E12" s="21" t="s">
        <v>161</v>
      </c>
      <c r="F12" s="21" t="s">
        <v>137</v>
      </c>
    </row>
    <row r="13" customFormat="false" ht="37.5" hidden="false" customHeight="true" outlineLevel="0" collapsed="false">
      <c r="A13" s="21" t="n">
        <v>10</v>
      </c>
      <c r="B13" s="18" t="s">
        <v>162</v>
      </c>
      <c r="C13" s="18" t="s">
        <v>163</v>
      </c>
      <c r="D13" s="21" t="s">
        <v>140</v>
      </c>
      <c r="E13" s="21" t="s">
        <v>161</v>
      </c>
      <c r="F13" s="21" t="s">
        <v>164</v>
      </c>
    </row>
    <row r="14" customFormat="false" ht="37.5" hidden="false" customHeight="true" outlineLevel="0" collapsed="false">
      <c r="A14" s="21" t="n">
        <v>11</v>
      </c>
      <c r="B14" s="18" t="s">
        <v>165</v>
      </c>
      <c r="C14" s="18" t="s">
        <v>166</v>
      </c>
      <c r="D14" s="21" t="s">
        <v>135</v>
      </c>
      <c r="E14" s="21" t="s">
        <v>161</v>
      </c>
      <c r="F14" s="21" t="s">
        <v>142</v>
      </c>
    </row>
    <row r="15" customFormat="false" ht="37.5" hidden="false" customHeight="true" outlineLevel="0" collapsed="false">
      <c r="A15" s="21" t="n">
        <v>12</v>
      </c>
      <c r="B15" s="18" t="s">
        <v>167</v>
      </c>
      <c r="C15" s="18" t="s">
        <v>168</v>
      </c>
      <c r="D15" s="21" t="s">
        <v>135</v>
      </c>
      <c r="E15" s="21" t="s">
        <v>169</v>
      </c>
      <c r="F15" s="21" t="s">
        <v>142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2026-05-14T11:43:22Z</dcterms:created>
  <dc:creator>openpyxl</dc:creator>
  <dc:description/>
  <dc:language>en-US</dc:language>
  <cp:lastModifiedBy/>
  <dcterms:modified xsi:type="dcterms:W3CDTF">2026-05-14T11:43:22Z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